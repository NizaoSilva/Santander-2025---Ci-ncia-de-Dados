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kidrow-NT\Desktop\Desafio Excel\"/>
    </mc:Choice>
  </mc:AlternateContent>
  <xr:revisionPtr revIDLastSave="0" documentId="13_ncr:1_{F5035C84-240C-44A8-8DE9-265405EB9C72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<sst xmlns="http://schemas.openxmlformats.org/spreadsheetml/2006/main" count="2030" uniqueCount="330">
  <si>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</si>
  <si>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</si>
  <si>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</si>
  <si>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</si>
  <si>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</si>
  <si>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</si>
  <si>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</si>
  <si>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</si>
  <si>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</si>
  <si>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</si>
  <si>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</si>
  <si>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</si>
  <si>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</si>
  <si>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</si>
  <si>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</si>
  <si>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</si>
  <si>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</si>
  <si>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</si>
  <si>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</si>
  <si>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</si>
  <si>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</si>
  <si>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</si>
  <si>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</si>
  <si>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</si>
  <si>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</si>
  <si>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</si>
  <si>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</si>
  <si>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</si>
  <si>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</si>
  <si>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</si>
  <si>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</si>
  <si>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</si>
  <si>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</si>
  <si>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</si>
  <si>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</si>
  <si>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</si>
  <si>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</si>
  <si>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</si>
  <si>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</si>
  <si>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</si>
  <si>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</si>
  <si>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</si>
  <si>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</si>
  <si>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</si>
  <si>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</si>
  <si>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</si>
  <si>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</si>
  <si>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</si>
  <si>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</si>
  <si>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</si>
  <si>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</si>
  <si>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</si>
  <si>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</si>
  <si>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</si>
  <si>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</si>
  <si>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</si>
  <si>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</si>
  <si>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</si>
  <si>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</si>
  <si>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</si>
  <si>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</si>
  <si>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</si>
  <si>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</si>
  <si>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</si>
  <si>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</si>
  <si>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</si>
  <si>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</si>
  <si>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</si>
  <si>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</si>
  <si>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</si>
  <si>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</si>
  <si>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</si>
  <si>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</si>
  <si>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</si>
  <si>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</si>
  <si>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</si>
  <si>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</si>
  <si>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</si>
  <si>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</si>
  <si>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</si>
  <si>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</si>
  <si>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</si>
  <si>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</si>
  <si>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</si>
  <si>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</si>
  <si>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</si>
  <si>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</si>
  <si>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</si>
  <si>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</si>
  <si>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</si>
  <si>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</si>
  <si>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</si>
  <si>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</si>
  <si>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</si>
  <si>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</si>
  <si>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</si>
  <si>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</si>
  <si>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</si>
  <si>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</si>
  <si>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</si>
  <si>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</si>
  <si>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</si>
  <si>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</si>
  <si>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</si>
  <si>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</si>
  <si>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</si>
  <si>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</si>
  <si>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</si>
  <si>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</si>
  <si>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</si>
  <si>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</si>
  <si>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</si>
  <si>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</si>
  <si>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</si>
  <si>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</si>
  <si>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</si>
  <si>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</si>
  <si>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</si>
  <si>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</si>
  <si>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</si>
  <si>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</si>
  <si>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</si>
  <si>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</si>
  <si>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</si>
  <si>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</si>
  <si>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</si>
  <si>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</si>
  <si>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</si>
  <si>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</si>
  <si>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</si>
  <si>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</si>
  <si>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</si>
  <si>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</si>
  <si>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</si>
  <si>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</si>
  <si>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</si>
  <si>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</si>
  <si>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</si>
  <si>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</si>
  <si>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</si>
  <si>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</si>
  <si>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</si>
  <si>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</si>
  <si>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</si>
  <si>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</si>
  <si>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</si>
  <si>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</si>
  <si>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</si>
  <si>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</si>
  <si>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</si>
  <si>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</si>
  <si>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</si>
  <si>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</si>
  <si>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</si>
  <si>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</si>
  <si>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</si>
  <si>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</si>
  <si>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</si>
  <si>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</si>
  <si>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</si>
  <si>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</si>
  <si>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</si>
  <si>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</si>
  <si>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</si>
  <si>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</si>
  <si>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</si>
  <si>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</si>
  <si>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</si>
  <si>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</si>
  <si>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</si>
  <si>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</si>
  <si>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</si>
  <si>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</si>
  <si>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</si>
  <si>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</si>
  <si>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</si>
  <si>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</si>
  <si>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</si>
  <si>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</si>
  <si>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</si>
  <si>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</si>
  <si>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</si>
  <si>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</si>
  <si>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</si>
  <si>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</si>
  <si>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</si>
  <si>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</si>
  <si>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</si>
  <si>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</si>
  <si>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</si>
  <si>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</si>
  <si>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</si>
  <si>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</si>
  <si>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</si>
  <si>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</si>
  <si>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</si>
  <si>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</si>
  <si>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</si>
  <si>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</si>
  <si>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</si>
  <si>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</si>
  <si>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</si>
  <si>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</si>
  <si>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</si>
  <si>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</si>
  <si>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</si>
  <si>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</si>
  <si>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</si>
  <si>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</si>
  <si>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</si>
  <si>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</si>
  <si>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</si>
  <si>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</si>
  <si>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</si>
  <si>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</si>
  <si>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</si>
  <si>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</si>
  <si>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</si>
  <si>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</si>
  <si>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</si>
  <si>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</si>
  <si>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</si>
  <si>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</si>
  <si>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</si>
  <si>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</si>
  <si>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</si>
  <si>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</si>
  <si>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</si>
  <si>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</si>
  <si>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</si>
  <si>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</si>
  <si>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</si>
  <si>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</si>
  <si>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</si>
  <si>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</si>
  <si>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</si>
  <si>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</si>
  <si>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</si>
  <si>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</si>
  <si>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</si>
  <si>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</si>
  <si>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</si>
  <si>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</si>
  <si>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</si>
  <si>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</si>
  <si>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</si>
  <si>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</si>
  <si>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</si>
  <si>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</si>
  <si>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</si>
  <si>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</si>
  <si>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</si>
  <si>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</si>
  <si>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</si>
  <si>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</si>
  <si>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</si>
  <si>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</si>
  <si>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</si>
  <si>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</si>
  <si>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</si>
  <si>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</si>
  <si>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</si>
  <si>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</si>
  <si>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</si>
  <si>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</si>
  <si>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</si>
  <si>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</si>
  <si>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</si>
  <si>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</si>
  <si>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</si>
  <si>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</si>
  <si>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</si>
  <si>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</si>
  <si>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</si>
  <si>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</si>
  <si>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</si>
  <si>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</si>
  <si>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</si>
  <si>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</si>
  <si>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</si>
  <si>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</si>
  <si>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</si>
  <si>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</si>
  <si>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</si>
  <si>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</si>
  <si>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</si>
  <si>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</si>
  <si>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</si>
  <si>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</si>
  <si>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</si>
  <si>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</si>
  <si>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</si>
  <si>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</si>
  <si>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</si>
  <si>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</si>
  <si>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</si>
  <si>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</si>
  <si>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</si>
  <si>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</si>
  <si>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</si>
  <si>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</si>
  <si>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</si>
  <si>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</si>
  <si>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</si>
  <si>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</si>
  <si>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</si>
  <si>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</si>
  <si>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</si>
  <si>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</si>
  <si>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</si>
  <si>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</si>
  <si>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</si>
  <si>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</si>
  <si>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</si>
  <si>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</si>
  <si>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</si>
  <si>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</si>
  <si>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</si>
  <si>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</si>
  <si>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</si>
  <si>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</si>
  <si>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</si>
  <si>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</si>
  <si>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</si>
  <si>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Valores</t>
  </si>
  <si>
    <t>(Tudo)</t>
  </si>
  <si>
    <t xml:space="preserve">Subscription Price </t>
  </si>
  <si>
    <t xml:space="preserve">EA Play Season Pass </t>
  </si>
  <si>
    <t xml:space="preserve">Minecraft Season Pass Price </t>
  </si>
  <si>
    <t xml:space="preserve">Coupon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</si>
</sst>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[finalizado.xlsx]C̳álculos!Tabela dinâmica1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C̳álculos!$B$44:$B$47</c:f>
              <c:strCache>
                <c:ptCount val="4"/>
                <c:pt idx="0">
                  <c:v>Minecraft Season Pass Price </c:v>
                </c:pt>
                <c:pt idx="1">
                  <c:v>EA Play Season Pass </c:v>
                </c:pt>
                <c:pt idx="2">
                  <c:v>Coupon Value </c:v>
                </c:pt>
                <c:pt idx="3">
                  <c:v>Subscription Price </c:v>
                </c:pt>
              </c:strCache>
            </c:strRef>
          </c:cat>
          <c:val>
            <c:numRef>
              <c:f>C̳álculos!$C$44:$C$47</c:f>
              <c:numCache>
                <c:formatCode>_("R$"* #,##0.00_);_("R$"* \(#,##0.00\);_("R$"* "-"??_);_(@_)</c:formatCode>
                <c:ptCount val="4"/>
                <c:pt idx="0">
                  <c:v>3880</c:v>
                </c:pt>
                <c:pt idx="1">
                  <c:v>2940</c:v>
                </c:pt>
                <c:pt idx="2">
                  <c:v>2122</c:v>
                </c:pt>
                <c:pt idx="3">
                  <c:v>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D-4ECA-95EB-FA0D491BA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745520"/>
        <c:axId val="1115747184"/>
      </c:barChart>
      <c:catAx>
        <c:axId val="1115745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747184"/>
        <c:crosses val="autoZero"/>
        <c:auto val="1"/>
        <c:lblAlgn val="ctr"/>
        <c:lblOffset val="100"/>
        <c:noMultiLvlLbl val="0"/>
      </c:catAx>
      <c:valAx>
        <c:axId val="11157471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11574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2</xdr:col>
      <xdr:colOff>22961</xdr:colOff>
      <xdr:row>37</xdr:row>
      <xdr:rowOff>19051</xdr:rowOff>
    </xdr:from>
    <xdr:to>
      <xdr:col>19</xdr:col>
      <xdr:colOff>138965</xdr:colOff>
      <xdr:row>54</xdr:row>
      <xdr:rowOff>78581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8F30F4E5-D0F4-41C5-BA57-80D4409C7595}"/>
            </a:ext>
          </a:extLst>
        </xdr:cNvPr>
        <xdr:cNvSpPr/>
      </xdr:nvSpPr>
      <xdr:spPr>
        <a:xfrm>
          <a:off x="2385161" y="6648451"/>
          <a:ext cx="11593629" cy="3136105"/>
        </a:xfrm>
        <a:prstGeom prst="roundRect">
          <a:avLst>
            <a:gd name="adj" fmla="val 360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9525</xdr:colOff>
      <xdr:row>37</xdr:row>
      <xdr:rowOff>19050</xdr:rowOff>
    </xdr:from>
    <xdr:to>
      <xdr:col>19</xdr:col>
      <xdr:colOff>152400</xdr:colOff>
      <xdr:row>39</xdr:row>
      <xdr:rowOff>87323</xdr:rowOff>
    </xdr:to>
    <xdr:sp macro="" textlink="">
      <xdr:nvSpPr>
        <xdr:cNvPr id="36" name="Retângulo: Cantos Superiores Arredondados 35">
          <a:extLst>
            <a:ext uri="{FF2B5EF4-FFF2-40B4-BE49-F238E27FC236}">
              <a16:creationId xmlns:a16="http://schemas.microsoft.com/office/drawing/2014/main" id="{6BB2CCB0-1050-4F64-919A-23C78E41FDE1}"/>
            </a:ext>
          </a:extLst>
        </xdr:cNvPr>
        <xdr:cNvSpPr/>
      </xdr:nvSpPr>
      <xdr:spPr>
        <a:xfrm>
          <a:off x="2371725" y="6648450"/>
          <a:ext cx="11620500" cy="43022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VALUES</a:t>
          </a:r>
        </a:p>
      </xdr:txBody>
    </xdr:sp>
    <xdr:clientData/>
  </xdr:twoCellAnchor>
  <xdr:twoCellAnchor editAs="absolute">
    <xdr:from>
      <xdr:col>2</xdr:col>
      <xdr:colOff>666749</xdr:colOff>
      <xdr:row>39</xdr:row>
      <xdr:rowOff>66675</xdr:rowOff>
    </xdr:from>
    <xdr:to>
      <xdr:col>18</xdr:col>
      <xdr:colOff>76199</xdr:colOff>
      <xdr:row>54</xdr:row>
      <xdr:rowOff>95250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112942D5-239F-43D2-A6CD-9E18B9E22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15</xdr:row>
      <xdr:rowOff>142876</xdr:rowOff>
    </xdr:from>
    <xdr:to>
      <xdr:col>0</xdr:col>
      <xdr:colOff>1828800</xdr:colOff>
      <xdr:row>22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Plan">
              <a:extLst>
                <a:ext uri="{FF2B5EF4-FFF2-40B4-BE49-F238E27FC236}">
                  <a16:creationId xmlns:a16="http://schemas.microsoft.com/office/drawing/2014/main" id="{4ED44973-7B0C-4232-A34D-FA53A82EB5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90826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22</xdr:row>
      <xdr:rowOff>133351</xdr:rowOff>
    </xdr:from>
    <xdr:to>
      <xdr:col>0</xdr:col>
      <xdr:colOff>1828800</xdr:colOff>
      <xdr:row>28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Auto Renewal">
              <a:extLst>
                <a:ext uri="{FF2B5EF4-FFF2-40B4-BE49-F238E27FC236}">
                  <a16:creationId xmlns:a16="http://schemas.microsoft.com/office/drawing/2014/main" id="{AFE1CCAE-F8CB-4AC4-8004-60332D30C6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48126"/>
              <a:ext cx="182880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15F78-11A8-441F-A7E6-E22B35A2E2E9}" name="Tabela dinâmica1" cacheId="0" dataOnRows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9">
  <location ref="B43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dataField="1"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numFmtId="44" showAll="0"/>
    <pivotField dataField="1" numFmtId="44" showAll="0"/>
    <pivotField numFmtId="44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pageFields count="1">
    <pageField fld="6" hier="-1"/>
  </pageFields>
  <dataFields count="4">
    <dataField name="Minecraft Season Pass Price " fld="10" baseField="0" baseItem="9"/>
    <dataField name="EA Play Season Pass " fld="8" baseField="0" baseItem="9"/>
    <dataField name="Coupon Value " fld="11" baseField="0" baseItem="9"/>
    <dataField name="Subscription Price " fld="5" baseField="0" baseItem="9"/>
  </dataFields>
  <formats count="1">
    <format dxfId="0">
      <pivotArea outline="0" collapsedLevelsAreSubtotals="1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C4B5D43-CEE7-4927-B004-645D2E451DAE}" sourceName="Plan">
  <pivotTables>
    <pivotTable tabId="3" name="Tabela dinâmica1"/>
    <pivotTable tabId="3" name="Tabela dinâmica9"/>
    <pivotTable tabId="3" name="tbl_annual_total"/>
    <pivotTable tabId="3" name="tbl_easeasonpass_total"/>
  </pivotTables>
  <data>
    <tabular pivotCacheId="1765956580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7732892-06DD-4FF4-9641-81766A0B9A59}" sourceName="Auto Renewal">
  <pivotTables>
    <pivotTable tabId="3" name="Tabela dinâmica1"/>
    <pivotTable tabId="3" name="Tabela dinâmica9"/>
    <pivotTable tabId="3" name="tbl_annual_total"/>
    <pivotTable tabId="3" name="tbl_easeasonpass_total"/>
  </pivotTables>
  <data>
    <tabular pivotCacheId="176595658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Plan" xr10:uid="{4B040B63-CFC2-4C84-B7E4-85E6680F0162}" cache="SegmentaçãodeDados_Plan" caption="Plan" style="SlicerStyleLight6 2" rowHeight="241300"/>
  <slicer name="Auto Renewal" xr10:uid="{DD745E36-9518-4275-88E7-8B2CF3475F6D}" cache="SegmentaçãodeDados_Auto_Renewal" caption="Auto Renewal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25" sqref="F2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25" sqref="F2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47"/>
  <sheetViews>
    <sheetView showGridLines="0" workbookViewId="0">
      <selection activeCell="F25" sqref="F25"/>
    </sheetView>
  </sheetViews>
  <sheetFormatPr defaultRowHeight="14.25"/>
  <cols>
    <col min="2" max="2" width="25.5" bestFit="1" customWidth="1"/>
    <col min="3" max="3" width="12" bestFit="1" customWidth="1"/>
    <col min="4" max="4" width="10.5" bestFit="1" customWidth="1"/>
    <col min="5" max="5" width="12" bestFit="1" customWidth="1"/>
    <col min="6" max="6" width="21.75" bestFit="1" customWidth="1"/>
    <col min="7" max="7" width="19.12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325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3847</v>
      </c>
    </row>
    <row r="13" spans="2:6">
      <c r="B13" s="14" t="s">
        <v>19</v>
      </c>
      <c r="C13" s="13">
        <v>3786</v>
      </c>
    </row>
    <row r="14" spans="2:6">
      <c r="B14" s="14" t="s">
        <v>310</v>
      </c>
      <c r="C14" s="13">
        <v>7633</v>
      </c>
    </row>
    <row r="17" spans="2:5">
      <c r="B17" s="14" t="s">
        <v>321</v>
      </c>
    </row>
    <row r="19" spans="2:5">
      <c r="B19" s="12" t="s">
        <v>16</v>
      </c>
      <c r="C19" t="s">
        <v>325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2940</v>
      </c>
    </row>
    <row r="25" spans="2:5">
      <c r="B25" s="14" t="s">
        <v>310</v>
      </c>
      <c r="C25" s="15">
        <v>2940</v>
      </c>
      <c r="E25" s="17">
        <f>GETPIVOTDATA("EA Play Season Pass
Price",$B$21)</f>
        <v>2940</v>
      </c>
    </row>
    <row r="28" spans="2:5">
      <c r="B28" s="14" t="s">
        <v>322</v>
      </c>
    </row>
    <row r="30" spans="2:5">
      <c r="B30" s="12" t="s">
        <v>16</v>
      </c>
      <c r="C30" t="s">
        <v>325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1920</v>
      </c>
    </row>
    <row r="35" spans="2:5">
      <c r="B35" s="14" t="s">
        <v>18</v>
      </c>
      <c r="C35" s="13">
        <v>1960</v>
      </c>
    </row>
    <row r="36" spans="2:5">
      <c r="B36" s="14" t="s">
        <v>310</v>
      </c>
      <c r="C36" s="13">
        <v>3880</v>
      </c>
      <c r="E36" s="17">
        <f>GETPIVOTDATA("Minecraft Season Pass Price",$B$32)</f>
        <v>3880</v>
      </c>
    </row>
    <row r="39" spans="2:5" ht="15">
      <c r="B39" t="s">
        <v>320</v>
      </c>
    </row>
    <row r="41" spans="2:5">
      <c r="B41" s="12" t="s">
        <v>16</v>
      </c>
      <c r="C41" t="s">
        <v>325</v>
      </c>
    </row>
    <row r="43" spans="2:5">
      <c r="B43" s="12" t="s">
        <v>324</v>
      </c>
    </row>
    <row r="44" spans="2:5">
      <c r="B44" s="14" t="s">
        <v>328</v>
      </c>
      <c r="C44" s="13">
        <v>3880</v>
      </c>
    </row>
    <row r="45" spans="2:5">
      <c r="B45" s="14" t="s">
        <v>327</v>
      </c>
      <c r="C45" s="13">
        <v>2940</v>
      </c>
    </row>
    <row r="46" spans="2:5">
      <c r="B46" s="14" t="s">
        <v>329</v>
      </c>
      <c r="C46" s="13">
        <v>2122</v>
      </c>
    </row>
    <row r="47" spans="2:5">
      <c r="B47" s="14" t="s">
        <v>326</v>
      </c>
      <c r="C47" s="13">
        <v>2935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2:S136"/>
  <sheetViews>
    <sheetView showGridLines="0" showRowColHeaders="0" tabSelected="1" zoomScaleNormal="100" workbookViewId="0">
      <selection activeCell="W22" sqref="W22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VINICIUS DE OLIVEIRA SILVA</cp:lastModifiedBy>
  <cp:lastPrinted>2026-01-18T20:50:30Z</cp:lastPrinted>
  <dcterms:created xsi:type="dcterms:W3CDTF">2024-12-19T13:13:10Z</dcterms:created>
  <dcterms:modified xsi:type="dcterms:W3CDTF">2026-01-18T20:56:14Z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